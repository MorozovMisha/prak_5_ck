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hecklist" sheetId="1" r:id="rId1"/>
    <sheet name="Summary" sheetId="2" r:id="rId2"/>
    <sheet name="Guide" sheetId="3" r:id="rId3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6"/>
      <color rgb="FF1F3864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b/>
      <sz val="11"/>
      <color rgb="FF1F3864"/>
      <name val="Calibri"/>
    </font>
    <font>
      <sz val="11"/>
      <color rgb="FF0563C1"/>
      <u val="single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9" fontId="0" fillId="0" borderId="1" xfId="0" applyNumberForma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595959"/>
      </font>
      <fill>
        <patternFill>
          <bgColor rgb="FFD9D9D9"/>
        </patternFill>
      </fill>
    </dxf>
    <dxf>
      <font>
        <color rgb="FF1F3864"/>
      </font>
      <fill>
        <patternFill>
          <bgColor rgb="FFDDEBF7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hyperlink" Target="https://github.com/singnet/Omega/compare/v0.1.18...v0.1.20" TargetMode="External"/><Relationship Id="rId2" Type="http://schemas.openxmlformats.org/officeDocument/2006/relationships/hyperlink" Target="https://github.com/singnet/Omega/releases/tag/v0.1.19" TargetMode="External"/><Relationship Id="rId3" Type="http://schemas.openxmlformats.org/officeDocument/2006/relationships/hyperlink" Target="https://github.com/singnet/Omega/releases/tag/v0.1.20" TargetMode="External"/><Relationship Id="rId4" Type="http://schemas.openxmlformats.org/officeDocument/2006/relationships/hyperlink" Target="https://github.com/singnet/Omega/blob/v0.1.20/docs/reference-channels.md" TargetMode="External"/><Relationship Id="rId5" Type="http://schemas.openxmlformats.org/officeDocument/2006/relationships/hyperlink" Target="https://github.com/singnet/Omega/blob/v0.1.20/docs/reference-memory-portability.md" TargetMode="External"/><Relationship Id="rId6" Type="http://schemas.openxmlformats.org/officeDocument/2006/relationships/hyperlink" Target="https://github.com/singnet/Omega/blob/v0.1.20/plugins/openclaw/README.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5" topLeftCell="A6" activePane="bottomLeft" state="frozen"/>
    </sheetView>
  </sheetViews>
  <cols>
    <col min="1" max="1" width="5" customWidth="1"/>
    <col min="2" max="2" width="22" customWidth="1"/>
    <col min="3" max="3" width="32" customWidth="1"/>
    <col min="4" max="4" width="55" customWidth="1"/>
    <col min="5" max="5" width="55" customWidth="1"/>
    <col min="6" max="6" width="14" customWidth="1"/>
    <col min="7" max="7" width="30" customWidth="1"/>
    <col min="8" max="8" width="14" customWidth="1"/>
    <col min="9" max="9" width="12" customWidth="1"/>
  </cols>
  <sheetData>
    <row r="1" ht="26" customHeight="1">
      <c r="A1" s="1" t="inlineStr">
        <is>
          <t>Omega Web-Chat Integration Checklist (v0.1.18 → v0.1.20)</t>
        </is>
      </c>
    </row>
    <row r="2" ht="17" customHeight="1">
      <c r="A2" s="2" t="inlineStr">
        <is>
          <t>User-side checks for the web chat · 16 scenarios · covers changes from releases v0.1.19 and v0.1.20</t>
        </is>
      </c>
    </row>
    <row r="3" ht="17" customHeight="1">
      <c r="A3" s="2" t="inlineStr">
        <is>
          <t>Pick a status from the dropdown (the cell is highlighted automatically). Comment, Tester, and Date are filled in manually.</t>
        </is>
      </c>
    </row>
    <row r="4" ht="7" customHeight="1"/>
    <row r="5" ht="32" customHeight="1">
      <c r="A5" s="3" t="inlineStr">
        <is>
          <t>No.</t>
        </is>
      </c>
      <c r="B5" s="3" t="inlineStr">
        <is>
          <t>Area</t>
        </is>
      </c>
      <c r="C5" s="3" t="inlineStr">
        <is>
          <t>What to verify (change)</t>
        </is>
      </c>
      <c r="D5" s="3" t="inlineStr">
        <is>
          <t>How to test (steps in chat)</t>
        </is>
      </c>
      <c r="E5" s="3" t="inlineStr">
        <is>
          <t>Expected result</t>
        </is>
      </c>
      <c r="F5" s="3" t="inlineStr">
        <is>
          <t>Status</t>
        </is>
      </c>
      <c r="G5" s="3" t="inlineStr">
        <is>
          <t>Comment / defect</t>
        </is>
      </c>
      <c r="H5" s="3" t="inlineStr">
        <is>
          <t>Tester</t>
        </is>
      </c>
      <c r="I5" s="3" t="inlineStr">
        <is>
          <t>Date</t>
        </is>
      </c>
    </row>
    <row r="6" ht="78.5" customHeight="1">
      <c r="A6" s="7" t="inlineStr">
        <is>
          <t>1</t>
        </is>
      </c>
      <c r="B6" s="6" t="inlineStr">
        <is>
          <t>Identity and version</t>
        </is>
      </c>
      <c r="C6" s="9" t="inlineStr">
        <is>
          <t>OmegaClaw → Omega rebranding (v0.1.20)</t>
        </is>
      </c>
      <c r="D6" s="4" t="inlineStr">
        <is>
          <t>1. Ask the agent in the chat: "what is your name?" and "what is your version?"
2. Open the chat right after (re)starting the container and check the agent's first message.</t>
        </is>
      </c>
      <c r="E6" s="4" t="inlineStr">
        <is>
          <t>The agent introduces itself as Omega (no OmegaClaw mentions anywhere), version v0.1.20. The first startup message contains the version, so you immediately see which release is running.</t>
        </is>
      </c>
      <c r="F6" s="7" t="inlineStr">
        <is>
          <t>Not started</t>
        </is>
      </c>
      <c r="G6" s="4"/>
      <c r="H6" s="7"/>
      <c r="I6" s="7"/>
    </row>
    <row r="7" ht="93.0" customHeight="1">
      <c r="A7" s="7" t="inlineStr">
        <is>
          <t>2</t>
        </is>
      </c>
      <c r="B7" s="6" t="inlineStr">
        <is>
          <t>Message delivery and connection drops</t>
        </is>
      </c>
      <c r="C7" s="9" t="inlineStr">
        <is>
          <t>Lost replies on disconnect fixed (OMEGA-288, v0.1.19)</t>
        </is>
      </c>
      <c r="D7" s="4" t="inlineStr">
        <is>
          <t>1. Ask the agent a question that requires a long answer.
2. Right while the agent is replying, cut the network or close the tab.
3. Return to the chat after the connection is restored.</t>
        </is>
      </c>
      <c r="E7" s="4" t="inlineStr">
        <is>
          <t>The reply is not lost: it is delivered after reconnection. No duplicates.</t>
        </is>
      </c>
      <c r="F7" s="7" t="inlineStr">
        <is>
          <t>Not started</t>
        </is>
      </c>
      <c r="G7" s="4"/>
      <c r="H7" s="7"/>
      <c r="I7" s="7"/>
    </row>
    <row r="8" ht="78.5" customHeight="1">
      <c r="A8" s="8" t="inlineStr">
        <is>
          <t>3</t>
        </is>
      </c>
      <c r="B8" s="6"/>
      <c r="C8" s="10" t="inlineStr">
        <is>
          <t>Deduplication after reconnect</t>
        </is>
      </c>
      <c r="D8" s="5" t="inlineStr">
        <is>
          <t>1. Exchange a couple of messages with the agent.
2. Cut the connection for 1–2 minutes, then return (the chat server may resend the message history).</t>
        </is>
      </c>
      <c r="E8" s="5" t="inlineStr">
        <is>
          <t>The agent does not answer already-processed messages again.</t>
        </is>
      </c>
      <c r="F8" s="8" t="inlineStr">
        <is>
          <t>Not started</t>
        </is>
      </c>
      <c r="G8" s="5"/>
      <c r="H8" s="8"/>
      <c r="I8" s="8"/>
    </row>
    <row r="9" ht="49.5" customHeight="1">
      <c r="A9" s="7" t="inlineStr">
        <is>
          <t>4</t>
        </is>
      </c>
      <c r="B9" s="6"/>
      <c r="C9" s="9" t="inlineStr">
        <is>
          <t>Fast-message merging</t>
        </is>
      </c>
      <c r="D9" s="4" t="inlineStr">
        <is>
          <t>Send 2–3 short messages in a row without waiting for the agent's reply.</t>
        </is>
      </c>
      <c r="E9" s="4" t="inlineStr">
        <is>
          <t>A single reply to the merged input; message order is preserved.</t>
        </is>
      </c>
      <c r="F9" s="7" t="inlineStr">
        <is>
          <t>Not started</t>
        </is>
      </c>
      <c r="G9" s="4"/>
      <c r="H9" s="7"/>
      <c r="I9" s="7"/>
    </row>
    <row r="10" ht="107.5" customHeight="1">
      <c r="A10" s="7" t="inlineStr">
        <is>
          <t>5</t>
        </is>
      </c>
      <c r="B10" s="6" t="inlineStr">
        <is>
          <t>Memory</t>
        </is>
      </c>
      <c r="C10" s="9" t="inlineStr">
        <is>
          <t>/memory-export command on WebSocket (new, v0.1.20)</t>
        </is>
      </c>
      <c r="D10" s="4" t="inlineStr">
        <is>
          <t>1. Send in the chat: /memory-export both
2. Then: /memory-export ltm
3. Then: /memory-export gibberish
4. (Optional) repeat on a stand without WS_TOKEN and with memoryExportEnabled disabled.</t>
        </is>
      </c>
      <c r="E10" s="4" t="inlineStr">
        <is>
          <t>The command returns a "Memory export complete" report: file name, size, SHA-256, record count. An invalid argument yields a format hint. Without a token — "Memory export denied: an authenticated user is required". With the feature disabled, the command goes to the agent as a regular message.</t>
        </is>
      </c>
      <c r="F10" s="7" t="inlineStr">
        <is>
          <t>Not started</t>
        </is>
      </c>
      <c r="G10" s="4"/>
      <c r="H10" s="7"/>
      <c r="I10" s="7"/>
    </row>
    <row r="11" ht="78.5" customHeight="1">
      <c r="A11" s="8" t="inlineStr">
        <is>
          <t>6</t>
        </is>
      </c>
      <c r="B11" s="6"/>
      <c r="C11" s="10" t="inlineStr">
        <is>
          <t>Memory backup and restore (v0.1.20)</t>
        </is>
      </c>
      <c r="D11" s="5" t="inlineStr">
        <is>
          <t>1. Ask the agent to remember a unique fact: "remember: control marker QW-123".
2. Run /memory-export both.
3. After restoring the instance from the archive, ask the agent about that fact.</t>
        </is>
      </c>
      <c r="E11" s="5" t="inlineStr">
        <is>
          <t>The fact is found on the new instance: the memory was transferred correctly.</t>
        </is>
      </c>
      <c r="F11" s="8" t="inlineStr">
        <is>
          <t>Not started</t>
        </is>
      </c>
      <c r="G11" s="5"/>
      <c r="H11" s="8"/>
      <c r="I11" s="8"/>
    </row>
    <row r="12" ht="64.0" customHeight="1">
      <c r="A12" s="7" t="inlineStr">
        <is>
          <t>7</t>
        </is>
      </c>
      <c r="B12" s="6"/>
      <c r="C12" s="9" t="inlineStr">
        <is>
          <t>Remembering and recall (remember / query / episodes)</t>
        </is>
      </c>
      <c r="D12" s="4" t="inlineStr">
        <is>
          <t>1. "Remember: my favorite color is &lt;unique marker&gt;".
2. Later ask: "what is my favorite color?"
3. Ask: "what did we discuss at &lt;date/time&gt;?"</t>
        </is>
      </c>
      <c r="E12" s="4" t="inlineStr">
        <is>
          <t>The fact is found both semantically (vector search) and by time (episodes).</t>
        </is>
      </c>
      <c r="F12" s="7" t="inlineStr">
        <is>
          <t>Not started</t>
        </is>
      </c>
      <c r="G12" s="4"/>
      <c r="H12" s="7"/>
      <c r="I12" s="7"/>
    </row>
    <row r="13" ht="93.0" customHeight="1">
      <c r="A13" s="7" t="inlineStr">
        <is>
          <t>8</t>
        </is>
      </c>
      <c r="B13" s="6" t="inlineStr">
        <is>
          <t>Skills and plugins</t>
        </is>
      </c>
      <c r="C13" s="9" t="inlineStr">
        <is>
          <t>New delete-file skill (v0.1.20)</t>
        </is>
      </c>
      <c r="D13" s="4" t="inlineStr">
        <is>
          <t>1. Ask the agent to create a file.
2. Ask it to delete the file.
3. Ask it to delete a file that definitely does not exist.
4. Cross-check the agent's actions with the container logs: docker logs omega.</t>
        </is>
      </c>
      <c r="E13" s="4" t="inlineStr">
        <is>
          <t>Deletion is confirmed with a real check (the file is gone). For a non-existent file — an explicit DELETE-FAILED in the reply and in the logs. The agent does not crash.</t>
        </is>
      </c>
      <c r="F13" s="7" t="inlineStr">
        <is>
          <t>Not started</t>
        </is>
      </c>
      <c r="G13" s="4"/>
      <c r="H13" s="7"/>
      <c r="I13" s="7"/>
    </row>
    <row r="14" ht="35.0" customHeight="1">
      <c r="A14" s="8" t="inlineStr">
        <is>
          <t>9</t>
        </is>
      </c>
      <c r="B14" s="6"/>
      <c r="C14" s="10" t="inlineStr">
        <is>
          <t>Unknown skill calls rejected (v0.1.19)</t>
        </is>
      </c>
      <c r="D14" s="5" t="inlineStr">
        <is>
          <t>Ask the agent to call a made-up skill, e.g.: "use the super-calc skill".</t>
        </is>
      </c>
      <c r="E14" s="5" t="inlineStr">
        <is>
          <t>An explicit refusal or an error message, not silence and not an invented result.</t>
        </is>
      </c>
      <c r="F14" s="8" t="inlineStr">
        <is>
          <t>Not started</t>
        </is>
      </c>
      <c r="G14" s="5"/>
      <c r="H14" s="8"/>
      <c r="I14" s="8"/>
    </row>
    <row r="15" ht="64.0" customHeight="1">
      <c r="A15" s="7" t="inlineStr">
        <is>
          <t>10</t>
        </is>
      </c>
      <c r="B15" s="6"/>
      <c r="C15" s="9" t="inlineStr">
        <is>
          <t>Dynamic skills add-skill / remove-skill (v0.1.19)</t>
        </is>
      </c>
      <c r="D15" s="4" t="inlineStr">
        <is>
          <t>1. Ask the agent to add a simple skill.
2. Make sure it appears in the list and works.
3. Ask it to remove the skill.</t>
        </is>
      </c>
      <c r="E15" s="4" t="inlineStr">
        <is>
          <t>The skill appears and disappears from the list immediately, without restarting the agent.</t>
        </is>
      </c>
      <c r="F15" s="7" t="inlineStr">
        <is>
          <t>Not started</t>
        </is>
      </c>
      <c r="G15" s="4"/>
      <c r="H15" s="7"/>
      <c r="I15" s="7"/>
    </row>
    <row r="16" ht="35.0" customHeight="1">
      <c r="A16" s="8" t="inlineStr">
        <is>
          <t>11</t>
        </is>
      </c>
      <c r="B16" s="6"/>
      <c r="C16" s="10" t="inlineStr">
        <is>
          <t>Agentverse skill removed (v0.1.19)</t>
        </is>
      </c>
      <c r="D16" s="5" t="inlineStr">
        <is>
          <t>1. Ask the agent what skills it has.
2. Ask it to perform an agentverse request.</t>
        </is>
      </c>
      <c r="E16" s="5" t="inlineStr">
        <is>
          <t>The skill is not in the capability list; the agent does not try to call it.</t>
        </is>
      </c>
      <c r="F16" s="8" t="inlineStr">
        <is>
          <t>Not started</t>
        </is>
      </c>
      <c r="G16" s="5"/>
      <c r="H16" s="8"/>
      <c r="I16" s="8"/>
    </row>
    <row r="17" ht="78.5" customHeight="1">
      <c r="A17" s="7" t="inlineStr">
        <is>
          <t>12</t>
        </is>
      </c>
      <c r="B17" s="6"/>
      <c r="C17" s="9" t="inlineStr">
        <is>
          <t>Task delegation to OpenClaw (v0.1.19; if the plugin is enabled)</t>
        </is>
      </c>
      <c r="D17" s="4" t="inlineStr">
        <is>
          <t>1. Ask: "delegate a task: reply exactly PONG".
2. Without waiting for the result, continue a normal dialogue.
3. Separately delegate an empty task.</t>
        </is>
      </c>
      <c r="E17" s="4" t="inlineStr">
        <is>
          <t>An immediate "delegated" reply, the agent stays responsive; the result arrives later (status=ok). An empty task — status=error, type=invalid_input.</t>
        </is>
      </c>
      <c r="F17" s="7" t="inlineStr">
        <is>
          <t>Not started</t>
        </is>
      </c>
      <c r="G17" s="4"/>
      <c r="H17" s="7"/>
      <c r="I17" s="7"/>
    </row>
    <row r="18" ht="49.5" customHeight="1">
      <c r="A18" s="8" t="inlineStr">
        <is>
          <t>13</t>
        </is>
      </c>
      <c r="B18" s="6"/>
      <c r="C18" s="10" t="inlineStr">
        <is>
          <t>Plugin operation (v0.1.19–v0.1.20)</t>
        </is>
      </c>
      <c r="D18" s="5" t="inlineStr">
        <is>
          <t>If a plugin is installed (e.g. workflow):
1. Invoke its skill in the chat.
2. Invoke the skill with invalid data.</t>
        </is>
      </c>
      <c r="E18" s="5" t="inlineStr">
        <is>
          <t>The skill is available and works; a plugin error does not crash the agent, the chat keeps working.</t>
        </is>
      </c>
      <c r="F18" s="8" t="inlineStr">
        <is>
          <t>Not started</t>
        </is>
      </c>
      <c r="G18" s="5"/>
      <c r="H18" s="8"/>
      <c r="I18" s="8"/>
    </row>
    <row r="19" ht="64.0" customHeight="1">
      <c r="A19" s="7" t="inlineStr">
        <is>
          <t>14</t>
        </is>
      </c>
      <c r="B19" s="6" t="inlineStr">
        <is>
          <t>LLM response behavior</t>
        </is>
      </c>
      <c r="C19" s="9" t="inlineStr">
        <is>
          <t>Empty replies due to reasoning budget (v0.1.20)</t>
        </is>
      </c>
      <c r="D19" s="4" t="inlineStr">
        <is>
          <t>Give the agent a very complex multi-step task (on a stand with a high reasoning level).</t>
        </is>
      </c>
      <c r="E19" s="4" t="inlineStr">
        <is>
          <t>Instead of an empty reply, a clear message arrives: "reasoning exceeded the token limit…" with advice to break the request into smaller steps.</t>
        </is>
      </c>
      <c r="F19" s="7" t="inlineStr">
        <is>
          <t>Not started</t>
        </is>
      </c>
      <c r="G19" s="4"/>
      <c r="H19" s="7"/>
      <c r="I19" s="7"/>
    </row>
    <row r="20" ht="64.0" customHeight="1">
      <c r="A20" s="8" t="inlineStr">
        <is>
          <t>15</t>
        </is>
      </c>
      <c r="B20" s="6"/>
      <c r="C20" s="10" t="inlineStr">
        <is>
          <t>Obtrusive ALERT_FAILED instruction removed (v0.1.19)</t>
        </is>
      </c>
      <c r="D20" s="5" t="inlineStr">
        <is>
          <t>1. Provoke a failed skill call (e.g. delete-file on a non-existent file).
2. Continue the dialogue with regular messages.</t>
        </is>
      </c>
      <c r="E20" s="5" t="inlineStr">
        <is>
          <t>The agent does not loop on "fixing the past failure": the dialogue continues normally.</t>
        </is>
      </c>
      <c r="F20" s="8" t="inlineStr">
        <is>
          <t>Not started</t>
        </is>
      </c>
      <c r="G20" s="5"/>
      <c r="H20" s="8"/>
      <c r="I20" s="8"/>
    </row>
    <row r="21" ht="64.0" customHeight="1">
      <c r="A21" s="7" t="inlineStr">
        <is>
          <t>16</t>
        </is>
      </c>
      <c r="B21" s="6" t="inlineStr">
        <is>
          <t>Security</t>
        </is>
      </c>
      <c r="C21" s="9" t="inlineStr">
        <is>
          <t>Secrets scrubbed from the agent environment</t>
        </is>
      </c>
      <c r="D21" s="4" t="inlineStr">
        <is>
          <t>Ask the agent to print its environment (shell skill: "env").</t>
        </is>
      </c>
      <c r="E21" s="4" t="inlineStr">
        <is>
          <t>The output contains no OMEGA_AUTH_SECRET, provider keys (ANTHROPIC_API_KEY, OPENAI_API_KEY, OPENROUTER_API_KEY, etc.), or channel tokens.</t>
        </is>
      </c>
      <c r="F21" s="7" t="inlineStr">
        <is>
          <t>Not started</t>
        </is>
      </c>
      <c r="G21" s="4"/>
      <c r="H21" s="7"/>
      <c r="I21" s="7"/>
    </row>
  </sheetData>
  <mergeCells count="7">
    <mergeCell ref="A1:I1"/>
    <mergeCell ref="A2:I2"/>
    <mergeCell ref="A3:I3"/>
    <mergeCell ref="B7:B9"/>
    <mergeCell ref="B10:B12"/>
    <mergeCell ref="B13:B18"/>
    <mergeCell ref="B19:B20"/>
  </mergeCells>
  <conditionalFormatting sqref="F6:F21">
    <cfRule type="cellIs" dxfId="0" priority="1" operator="equal">
      <formula>"Passed"</formula>
    </cfRule>
    <cfRule type="cellIs" dxfId="1" priority="2" operator="equal">
      <formula>"Failed"</formula>
    </cfRule>
    <cfRule type="cellIs" dxfId="2" priority="3" operator="equal">
      <formula>"In progress"</formula>
    </cfRule>
    <cfRule type="cellIs" dxfId="3" priority="4" operator="equal">
      <formula>"Blocked"</formula>
    </cfRule>
    <cfRule type="cellIs" dxfId="4" priority="5" operator="equal">
      <formula>"N/A"</formula>
    </cfRule>
  </conditionalFormatting>
  <dataValidations count="1">
    <dataValidation type="list" allowBlank="1" showInputMessage="1" showErrorMessage="1" sqref="F6:F21">
      <formula1>"Not started","In progress","Passed","Failed","Blocked","N/A"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34" customWidth="1"/>
    <col min="2" max="2" width="12" customWidth="1"/>
    <col min="3" max="3" width="12" customWidth="1"/>
    <col min="4" max="4" width="14" customWidth="1"/>
  </cols>
  <sheetData>
    <row r="1" ht="26" customHeight="1">
      <c r="A1" s="1" t="inlineStr">
        <is>
          <t>Checklist summary</t>
        </is>
      </c>
    </row>
    <row r="2" ht="17" customHeight="1">
      <c r="A2" s="2" t="inlineStr">
        <is>
          <t>Filled in automatically from the Status column of the Checklist sheet</t>
        </is>
      </c>
    </row>
    <row r="3" ht="7" customHeight="1"/>
    <row r="4" ht="26" customHeight="1">
      <c r="A4" s="3" t="inlineStr">
        <is>
          <t>Status</t>
        </is>
      </c>
      <c r="B4" s="3" t="inlineStr">
        <is>
          <t>Count</t>
        </is>
      </c>
      <c r="C4" s="3" t="inlineStr">
        <is>
          <t>Share</t>
        </is>
      </c>
    </row>
    <row r="5" ht="20" customHeight="1">
      <c r="A5" s="9" t="inlineStr">
        <is>
          <t>Not started</t>
        </is>
      </c>
      <c r="B5" s="7">
        <f>=COUNTIF(Checklist!$F$6:$F$21,$A5)</f>
      </c>
      <c r="C5" s="11">
        <f>=IF($B$11=0,"",B5/$B$11)</f>
      </c>
    </row>
    <row r="6" ht="20" customHeight="1">
      <c r="A6" s="9" t="inlineStr">
        <is>
          <t>In progress</t>
        </is>
      </c>
      <c r="B6" s="7">
        <f>=COUNTIF(Checklist!$F$6:$F$21,$A6)</f>
      </c>
      <c r="C6" s="11">
        <f>=IF($B$11=0,"",B6/$B$11)</f>
      </c>
    </row>
    <row r="7" ht="20" customHeight="1">
      <c r="A7" s="9" t="inlineStr">
        <is>
          <t>Passed</t>
        </is>
      </c>
      <c r="B7" s="7">
        <f>=COUNTIF(Checklist!$F$6:$F$21,$A7)</f>
      </c>
      <c r="C7" s="11">
        <f>=IF($B$11=0,"",B7/$B$11)</f>
      </c>
    </row>
    <row r="8" ht="20" customHeight="1">
      <c r="A8" s="9" t="inlineStr">
        <is>
          <t>Failed</t>
        </is>
      </c>
      <c r="B8" s="7">
        <f>=COUNTIF(Checklist!$F$6:$F$21,$A8)</f>
      </c>
      <c r="C8" s="11">
        <f>=IF($B$11=0,"",B8/$B$11)</f>
      </c>
    </row>
    <row r="9" ht="20" customHeight="1">
      <c r="A9" s="9" t="inlineStr">
        <is>
          <t>Blocked</t>
        </is>
      </c>
      <c r="B9" s="7">
        <f>=COUNTIF(Checklist!$F$6:$F$21,$A9)</f>
      </c>
      <c r="C9" s="11">
        <f>=IF($B$11=0,"",B9/$B$11)</f>
      </c>
    </row>
    <row r="10" ht="20" customHeight="1">
      <c r="A10" s="9" t="inlineStr">
        <is>
          <t>N/A</t>
        </is>
      </c>
      <c r="B10" s="7">
        <f>=COUNTIF(Checklist!$F$6:$F$21,$A10)</f>
      </c>
      <c r="C10" s="11">
        <f>=IF($B$11=0,"",B10/$B$11)</f>
      </c>
    </row>
    <row r="11" ht="22" customHeight="1">
      <c r="A11" s="9" t="inlineStr">
        <is>
          <t>Total</t>
        </is>
      </c>
      <c r="B11" s="7">
        <f>=COUNTA(Checklist!$F$6:$F$21)</f>
      </c>
      <c r="C11" s="11">
        <f>=IF($B$11=0,"",1)</f>
      </c>
    </row>
    <row r="12" ht="7" customHeight="1"/>
    <row r="13" ht="30" customHeight="1">
      <c r="A13" s="3" t="inlineStr">
        <is>
          <t>Area</t>
        </is>
      </c>
      <c r="B13" s="3" t="inlineStr">
        <is>
          <t>Checks</t>
        </is>
      </c>
      <c r="C13" s="3" t="inlineStr">
        <is>
          <t>Passed</t>
        </is>
      </c>
      <c r="D13" s="3" t="inlineStr">
        <is>
          <t>Pass rate</t>
        </is>
      </c>
    </row>
    <row r="14" ht="30" customHeight="1">
      <c r="A14" s="9" t="inlineStr">
        <is>
          <t>Identity and version</t>
        </is>
      </c>
      <c r="B14" s="7">
        <f>=COUNTA(Checklist!$F$6:$F$6)</f>
      </c>
      <c r="C14" s="7">
        <f>=COUNTIF(Checklist!$F$6:$F$6,"Passed")</f>
      </c>
      <c r="D14" s="11">
        <f>=IF(B14=0,"",C14/B14)</f>
      </c>
    </row>
    <row r="15" ht="30" customHeight="1">
      <c r="A15" s="9" t="inlineStr">
        <is>
          <t>Message delivery and connection drops</t>
        </is>
      </c>
      <c r="B15" s="7">
        <f>=COUNTA(Checklist!$F$7:$F$9)</f>
      </c>
      <c r="C15" s="7">
        <f>=COUNTIF(Checklist!$F$7:$F$9,"Passed")</f>
      </c>
      <c r="D15" s="11">
        <f>=IF(B15=0,"",C15/B15)</f>
      </c>
    </row>
    <row r="16" ht="30" customHeight="1">
      <c r="A16" s="9" t="inlineStr">
        <is>
          <t>Memory</t>
        </is>
      </c>
      <c r="B16" s="7">
        <f>=COUNTA(Checklist!$F$10:$F$12)</f>
      </c>
      <c r="C16" s="7">
        <f>=COUNTIF(Checklist!$F$10:$F$12,"Passed")</f>
      </c>
      <c r="D16" s="11">
        <f>=IF(B16=0,"",C16/B16)</f>
      </c>
    </row>
    <row r="17" ht="30" customHeight="1">
      <c r="A17" s="9" t="inlineStr">
        <is>
          <t>Skills and plugins</t>
        </is>
      </c>
      <c r="B17" s="7">
        <f>=COUNTA(Checklist!$F$13:$F$18)</f>
      </c>
      <c r="C17" s="7">
        <f>=COUNTIF(Checklist!$F$13:$F$18,"Passed")</f>
      </c>
      <c r="D17" s="11">
        <f>=IF(B17=0,"",C17/B17)</f>
      </c>
    </row>
    <row r="18" ht="30" customHeight="1">
      <c r="A18" s="9" t="inlineStr">
        <is>
          <t>LLM response behavior</t>
        </is>
      </c>
      <c r="B18" s="7">
        <f>=COUNTA(Checklist!$F$19:$F$20)</f>
      </c>
      <c r="C18" s="7">
        <f>=COUNTIF(Checklist!$F$19:$F$20,"Passed")</f>
      </c>
      <c r="D18" s="11">
        <f>=IF(B18=0,"",C18/B18)</f>
      </c>
    </row>
    <row r="19" ht="30" customHeight="1">
      <c r="A19" s="9" t="inlineStr">
        <is>
          <t>Security</t>
        </is>
      </c>
      <c r="B19" s="7">
        <f>=COUNTA(Checklist!$F$21:$F$21)</f>
      </c>
      <c r="C19" s="7">
        <f>=COUNTIF(Checklist!$F$21:$F$21,"Passed")</f>
      </c>
      <c r="D19" s="11">
        <f>=IF(B19=0,"",C19/B19)</f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28" customWidth="1"/>
    <col min="2" max="2" width="95" customWidth="1"/>
  </cols>
  <sheetData>
    <row r="1" ht="26" customHeight="1">
      <c r="A1" s="1" t="inlineStr">
        <is>
          <t>Context, prerequisites, and links</t>
        </is>
      </c>
    </row>
    <row r="2" ht="7" customHeight="1"/>
    <row r="3" ht="49.5" customHeight="1">
      <c r="A3" s="13" t="inlineStr">
        <is>
          <t>Product</t>
        </is>
      </c>
      <c r="B3" s="14" t="inlineStr">
        <is>
          <t>Omega (formerly OmegaClaw) is an AI agent by SingularityNET / ASI Alliance. The checklist covers changes between v0.1.18 and v0.1.20 (270 commits; releases v0.1.19 and v0.1.20).</t>
        </is>
      </c>
    </row>
    <row r="4" ht="78.5" customHeight="1">
      <c r="A4" s="13" t="inlineStr">
        <is>
          <t>How the web chat is connected</t>
        </is>
      </c>
      <c r="B4" s="14" t="inlineStr">
        <is>
          <t>Omega acts as a WebSocket client: it connects to the chat server via WS_URL with a Bearer token from WS_TOKEN (the channel is enabled with the -t websocket flag). Inbound frames are user_message, outbound are agent_message; after every reconnection the agent sends resume with the sequence number of the last processed message.</t>
        </is>
      </c>
    </row>
    <row r="5" ht="122.0" customHeight="1">
      <c r="A5" s="13" t="inlineStr">
        <is>
          <t>Prerequisites</t>
        </is>
      </c>
      <c r="B5" s="14" t="inlineStr">
        <is>
          <t>1. The singularitynet/omega:v0.1.20 container is running with -t websocket and the WS_URL / WS_TOKEN variables.
2. Container logs are accessible for cross-checking the agent's actions: docker logs omega.
3. Check #5: memoryExportEnabled is on and WS_TOKEN is set.
4. Check #12: the OpenClaw plugin is enabled with -g &lt;gateway-url&gt;.
5. Check #14: the reasoning level is raised on the stand (reasoningMode: high).</t>
        </is>
      </c>
    </row>
    <row r="6" ht="35.0" customHeight="1">
      <c r="A6" s="13" t="inlineStr">
        <is>
          <t>Out of scope</t>
        </is>
      </c>
      <c r="B6" s="14" t="inlineStr">
        <is>
          <t>The server side of the web chat (frame handling, Bearer authorization, history replay), CI/autotests, and deployment operations are not covered here.</t>
        </is>
      </c>
    </row>
    <row r="7" ht="24.0" customHeight="1">
      <c r="A7" s="13" t="inlineStr">
        <is>
          <t>Links</t>
        </is>
      </c>
      <c r="B7" s="14" t="inlineStr">
        <is>
          <t>Up-to-date product materials:</t>
        </is>
      </c>
    </row>
    <row r="8" ht="24.0" customHeight="1">
      <c r="A8" s="13" t="inlineStr">
        <is>
          <t>Version compare v0.1.18...v0.1.20</t>
        </is>
      </c>
      <c r="B8" s="12" t="inlineStr">
        <is>
          <t>https://github.com/singnet/Omega/compare/v0.1.18...v0.1.20</t>
        </is>
      </c>
    </row>
    <row r="9" ht="24.0" customHeight="1">
      <c r="A9" s="13" t="inlineStr">
        <is>
          <t>Release v0.1.19</t>
        </is>
      </c>
      <c r="B9" s="12" t="inlineStr">
        <is>
          <t>https://github.com/singnet/Omega/releases/tag/v0.1.19</t>
        </is>
      </c>
    </row>
    <row r="10" ht="24.0" customHeight="1">
      <c r="A10" s="13" t="inlineStr">
        <is>
          <t>Release v0.1.20</t>
        </is>
      </c>
      <c r="B10" s="12" t="inlineStr">
        <is>
          <t>https://github.com/singnet/Omega/releases/tag/v0.1.20</t>
        </is>
      </c>
    </row>
    <row r="11" ht="24.0" customHeight="1">
      <c r="A11" s="13" t="inlineStr">
        <is>
          <t>WS channel protocol (docs)</t>
        </is>
      </c>
      <c r="B11" s="12" t="inlineStr">
        <is>
          <t>https://github.com/singnet/Omega/blob/v0.1.20/docs/reference-channels.md</t>
        </is>
      </c>
    </row>
    <row r="12" ht="35.0" customHeight="1">
      <c r="A12" s="13" t="inlineStr">
        <is>
          <t>Memory portability (docs)</t>
        </is>
      </c>
      <c r="B12" s="12" t="inlineStr">
        <is>
          <t>https://github.com/singnet/Omega/blob/v0.1.20/docs/reference-memory-portability.md</t>
        </is>
      </c>
    </row>
    <row r="13" ht="24.0" customHeight="1">
      <c r="A13" s="13" t="inlineStr">
        <is>
          <t>OpenClaw plugin (README)</t>
        </is>
      </c>
      <c r="B13" s="12" t="inlineStr">
        <is>
          <t>https://github.com/singnet/Omega/blob/v0.1.20/plugins/openclaw/README.md</t>
        </is>
      </c>
    </row>
  </sheetData>
  <mergeCells count="1">
    <mergeCell ref="A1:B1"/>
  </mergeCells>
  <hyperlinks>
    <hyperlink ref="B8" r:id="rId1"/>
    <hyperlink ref="B9" r:id="rId2"/>
    <hyperlink ref="B10" r:id="rId3"/>
    <hyperlink ref="B11" r:id="rId4"/>
    <hyperlink ref="B12" r:id="rId5"/>
    <hyperlink ref="B13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Omega QA checklist generator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Omega Web-Chat Integration Checklist (v0.1.18 → v0.1.20)</dc:title>
  <dc:creator>QA</dc:creator>
  <dcterms:created xsi:type="dcterms:W3CDTF">2026-10-19T00:00:00Z</dcterms:created>
</cp:coreProperties>
</file>