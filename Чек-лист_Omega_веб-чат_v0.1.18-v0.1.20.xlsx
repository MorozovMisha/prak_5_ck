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Чек-лист" sheetId="1" r:id="rId1"/>
    <sheet name="Сводка" sheetId="2" r:id="rId2"/>
    <sheet name="Руководство" sheetId="3" r:id="rId3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sz val="11"/>
      <color rgb="FF0563C1"/>
      <u val="singl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9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595959"/>
      </font>
      <fill>
        <patternFill>
          <bgColor rgb="FFD9D9D9"/>
        </patternFill>
      </fill>
    </dxf>
    <dxf>
      <font>
        <color rgb="FF1F3864"/>
      </font>
      <fill>
        <patternFill>
          <bgColor rgb="FFDDEBF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singnet/Omega/compare/v0.1.18...v0.1.20" TargetMode="External"/><Relationship Id="rId2" Type="http://schemas.openxmlformats.org/officeDocument/2006/relationships/hyperlink" Target="https://github.com/singnet/Omega/releases/tag/v0.1.19" TargetMode="External"/><Relationship Id="rId3" Type="http://schemas.openxmlformats.org/officeDocument/2006/relationships/hyperlink" Target="https://github.com/singnet/Omega/releases/tag/v0.1.20" TargetMode="External"/><Relationship Id="rId4" Type="http://schemas.openxmlformats.org/officeDocument/2006/relationships/hyperlink" Target="https://github.com/singnet/Omega/blob/v0.1.20/docs/reference-channels.md" TargetMode="External"/><Relationship Id="rId5" Type="http://schemas.openxmlformats.org/officeDocument/2006/relationships/hyperlink" Target="https://github.com/singnet/Omega/blob/v0.1.20/docs/reference-memory-portability.md" TargetMode="External"/><Relationship Id="rId6" Type="http://schemas.openxmlformats.org/officeDocument/2006/relationships/hyperlink" Target="https://github.com/singnet/Omega/blob/v0.1.20/plugins/openclaw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5" topLeftCell="A6" activePane="bottomLeft" state="frozen"/>
    </sheetView>
  </sheetViews>
  <cols>
    <col min="1" max="1" width="5" customWidth="1"/>
    <col min="2" max="2" width="20" customWidth="1"/>
    <col min="3" max="3" width="32" customWidth="1"/>
    <col min="4" max="4" width="55" customWidth="1"/>
    <col min="5" max="5" width="55" customWidth="1"/>
    <col min="6" max="6" width="14" customWidth="1"/>
    <col min="7" max="7" width="30" customWidth="1"/>
    <col min="8" max="8" width="14" customWidth="1"/>
    <col min="9" max="9" width="12" customWidth="1"/>
  </cols>
  <sheetData>
    <row r="1" ht="26" customHeight="1">
      <c r="A1" s="1" t="inlineStr">
        <is>
          <t>Чек-лист интеграции Omega в веб-чат (v0.1.18 → v0.1.20)</t>
        </is>
      </c>
    </row>
    <row r="2" ht="17" customHeight="1">
      <c r="A2" s="2" t="inlineStr">
        <is>
          <t>Проверки со стороны пользователя веб-чата · 16 сценариев · изменения релизов v0.1.19 и v0.1.20</t>
        </is>
      </c>
    </row>
    <row r="3" ht="17" customHeight="1">
      <c r="A3" s="2" t="inlineStr">
        <is>
          <t>Статус выбирается из выпадающего списка (цвет подсветится автоматически). Комментарий, Тестировщик и Дата заполняются вручную.</t>
        </is>
      </c>
    </row>
    <row r="4" ht="7" customHeight="1"/>
    <row r="5" ht="32" customHeight="1">
      <c r="A5" s="3" t="inlineStr">
        <is>
          <t>№</t>
        </is>
      </c>
      <c r="B5" s="3" t="inlineStr">
        <is>
          <t>Раздел</t>
        </is>
      </c>
      <c r="C5" s="3" t="inlineStr">
        <is>
          <t>Что проверяем (изменение)</t>
        </is>
      </c>
      <c r="D5" s="3" t="inlineStr">
        <is>
          <t>Как проверить (шаги в чате)</t>
        </is>
      </c>
      <c r="E5" s="3" t="inlineStr">
        <is>
          <t>Ожидаемый результат</t>
        </is>
      </c>
      <c r="F5" s="3" t="inlineStr">
        <is>
          <t>Статус</t>
        </is>
      </c>
      <c r="G5" s="3" t="inlineStr">
        <is>
          <t>Комментарий / дефект</t>
        </is>
      </c>
      <c r="H5" s="3" t="inlineStr">
        <is>
          <t>Тестировщик</t>
        </is>
      </c>
      <c r="I5" s="3" t="inlineStr">
        <is>
          <t>Дата</t>
        </is>
      </c>
    </row>
    <row r="6" ht="64.0" customHeight="1">
      <c r="A6" s="7" t="inlineStr">
        <is>
          <t>1</t>
        </is>
      </c>
      <c r="B6" s="6" t="inlineStr">
        <is>
          <t>Идентичность и версия</t>
        </is>
      </c>
      <c r="C6" s="9" t="inlineStr">
        <is>
          <t>Ребрендинг OmegaClaw → Omega (v0.1.20)</t>
        </is>
      </c>
      <c r="D6" s="4" t="inlineStr">
        <is>
          <t>1. Спросить у агента в чате: "как тебя зовут?" и "какая у тебя версия?"
2. Открыть чат сразу после (пере)запуска контейнера и посмотреть первое сообщение агента.</t>
        </is>
      </c>
      <c r="E6" s="4" t="inlineStr">
        <is>
          <t>Агент представляется как Omega (нигде не упоминает OmegaClaw), версия — v0.1.20. Первое сообщение при старте содержит версию: сразу видно, какой релиз запущен.</t>
        </is>
      </c>
      <c r="F6" s="7" t="inlineStr">
        <is>
          <t>Не начато</t>
        </is>
      </c>
      <c r="G6" s="4"/>
      <c r="H6" s="7"/>
      <c r="I6" s="7"/>
    </row>
    <row r="7" ht="93.0" customHeight="1">
      <c r="A7" s="7" t="inlineStr">
        <is>
          <t>2</t>
        </is>
      </c>
      <c r="B7" s="6" t="inlineStr">
        <is>
          <t>Доставка сообщений и обрывы связи</t>
        </is>
      </c>
      <c r="C7" s="9" t="inlineStr">
        <is>
          <t>Потеря ответов при разрыве связи исправлена (OMEGA-288, v0.1.19)</t>
        </is>
      </c>
      <c r="D7" s="4" t="inlineStr">
        <is>
          <t>1. Задать агенту вопрос, требующий развёрнутого ответа.
2. Ровно в момент, пока агент отвечает, оборвать сеть или закрыть вкладку.
3. Вернуться в чат после восстановления соединения.</t>
        </is>
      </c>
      <c r="E7" s="4" t="inlineStr">
        <is>
          <t>Ответ не теряется: он доставляется после переподключения. Дубликатов нет.</t>
        </is>
      </c>
      <c r="F7" s="7" t="inlineStr">
        <is>
          <t>Не начато</t>
        </is>
      </c>
      <c r="G7" s="4"/>
      <c r="H7" s="7"/>
      <c r="I7" s="7"/>
    </row>
    <row r="8" ht="64.0" customHeight="1">
      <c r="A8" s="8" t="inlineStr">
        <is>
          <t>3</t>
        </is>
      </c>
      <c r="B8" s="6"/>
      <c r="C8" s="10" t="inlineStr">
        <is>
          <t>Дедупликация после reconnect</t>
        </is>
      </c>
      <c r="D8" s="5" t="inlineStr">
        <is>
          <t>1. Обменяться с агентом парой сообщений.
2. Оборвать связь на 1–2 минуты, затем вернуться (чат-сервер при этом может переотправить историю сообщений).</t>
        </is>
      </c>
      <c r="E8" s="5" t="inlineStr">
        <is>
          <t>Агент не отвечает повторно на уже обработанные сообщения.</t>
        </is>
      </c>
      <c r="F8" s="8" t="inlineStr">
        <is>
          <t>Не начато</t>
        </is>
      </c>
      <c r="G8" s="5"/>
      <c r="H8" s="8"/>
      <c r="I8" s="8"/>
    </row>
    <row r="9" ht="49.5" customHeight="1">
      <c r="A9" s="7" t="inlineStr">
        <is>
          <t>4</t>
        </is>
      </c>
      <c r="B9" s="6"/>
      <c r="C9" s="9" t="inlineStr">
        <is>
          <t>Склейка быстрых сообщений</t>
        </is>
      </c>
      <c r="D9" s="4" t="inlineStr">
        <is>
          <t>Отправить 2–3 коротких сообщения подряд, не дожидаясь ответа агента.</t>
        </is>
      </c>
      <c r="E9" s="4" t="inlineStr">
        <is>
          <t>Приходит один ответ на объединённый ввод, порядок сообщений сохранён.</t>
        </is>
      </c>
      <c r="F9" s="7" t="inlineStr">
        <is>
          <t>Не начато</t>
        </is>
      </c>
      <c r="G9" s="4"/>
      <c r="H9" s="7"/>
      <c r="I9" s="7"/>
    </row>
    <row r="10" ht="93.0" customHeight="1">
      <c r="A10" s="7" t="inlineStr">
        <is>
          <t>5</t>
        </is>
      </c>
      <c r="B10" s="6" t="inlineStr">
        <is>
          <t>Память</t>
        </is>
      </c>
      <c r="C10" s="9" t="inlineStr">
        <is>
          <t>Команда /memory-export на WebSocket (новое, v0.1.20)</t>
        </is>
      </c>
      <c r="D10" s="4" t="inlineStr">
        <is>
          <t>1. Послать в чат: /memory-export both
2. Затем: /memory-export ltm
3. Затем: /memory-export абракадабра
4. (Опционально) повторить на стенде без WS_TOKEN и с выключенной настройкой memoryExportEnabled.</t>
        </is>
      </c>
      <c r="E10" s="4" t="inlineStr">
        <is>
          <t>По команде — отчёт "Memory export complete": имя файла, размер, SHA-256, число записей. Неверный аргумент — подсказка формата. Без токена — "Memory export denied: an authenticated user is required". При выключенной фиче команда уходит агенту как обычное сообщение.</t>
        </is>
      </c>
      <c r="F10" s="7" t="inlineStr">
        <is>
          <t>Не начато</t>
        </is>
      </c>
      <c r="G10" s="4"/>
      <c r="H10" s="7"/>
      <c r="I10" s="7"/>
    </row>
    <row r="11" ht="78.5" customHeight="1">
      <c r="A11" s="8" t="inlineStr">
        <is>
          <t>6</t>
        </is>
      </c>
      <c r="B11" s="6"/>
      <c r="C11" s="10" t="inlineStr">
        <is>
          <t>Бэкап и восстановление памяти (v0.1.20)</t>
        </is>
      </c>
      <c r="D11" s="5" t="inlineStr">
        <is>
          <t>1. Попросить агента запомнить уникальный факт: "запомни: контрольный маркер QW-123".
2. Выполнить /memory-export both.
3. После восстановления инстанса из архива спросить агента про этот факт.</t>
        </is>
      </c>
      <c r="E11" s="5" t="inlineStr">
        <is>
          <t>Факт находится на новом инстансе: память перенеслась корректно.</t>
        </is>
      </c>
      <c r="F11" s="8" t="inlineStr">
        <is>
          <t>Не начато</t>
        </is>
      </c>
      <c r="G11" s="5"/>
      <c r="H11" s="8"/>
      <c r="I11" s="8"/>
    </row>
    <row r="12" ht="93.0" customHeight="1">
      <c r="A12" s="7" t="inlineStr">
        <is>
          <t>7</t>
        </is>
      </c>
      <c r="B12" s="6"/>
      <c r="C12" s="9" t="inlineStr">
        <is>
          <t>Запоминание и поиск (remember / query / episodes)</t>
        </is>
      </c>
      <c r="D12" s="4" t="inlineStr">
        <is>
          <t>1. "Запомни: мой любимый цвет — &lt;уникальный маркер&gt;".
2. Позже спросить: "какой у меня любимый цвет?"
3. Спросить: "что мы обсуждали в &lt;дата/время&gt;?"</t>
        </is>
      </c>
      <c r="E12" s="4" t="inlineStr">
        <is>
          <t>Факт находится и по смыслу (векторный поиск), и по времени (эпизоды).</t>
        </is>
      </c>
      <c r="F12" s="7" t="inlineStr">
        <is>
          <t>Не начато</t>
        </is>
      </c>
      <c r="G12" s="4"/>
      <c r="H12" s="7"/>
      <c r="I12" s="7"/>
    </row>
    <row r="13" ht="93.0" customHeight="1">
      <c r="A13" s="7" t="inlineStr">
        <is>
          <t>8</t>
        </is>
      </c>
      <c r="B13" s="6" t="inlineStr">
        <is>
          <t>Скиллы и плагины</t>
        </is>
      </c>
      <c r="C13" s="9" t="inlineStr">
        <is>
          <t>Новый скилл delete-file (v0.1.20)</t>
        </is>
      </c>
      <c r="D13" s="4" t="inlineStr">
        <is>
          <t>1. Попросить агента создать файл.
2. Попросить удалить его.
3. Попросить удалить заведомо несуществующий файл.
4. Сверить действия агента с логами контейнера: docker logs omega.</t>
        </is>
      </c>
      <c r="E13" s="4" t="inlineStr">
        <is>
          <t>Подтверждение удаления с реальной проверкой (файла больше нет). Для несуществующего файла — явный DELETE-FAILED в ответе и логах. Агент не падает.</t>
        </is>
      </c>
      <c r="F13" s="7" t="inlineStr">
        <is>
          <t>Не начато</t>
        </is>
      </c>
      <c r="G13" s="4"/>
      <c r="H13" s="7"/>
      <c r="I13" s="7"/>
    </row>
    <row r="14" ht="35.0" customHeight="1">
      <c r="A14" s="8" t="inlineStr">
        <is>
          <t>9</t>
        </is>
      </c>
      <c r="B14" s="6"/>
      <c r="C14" s="10" t="inlineStr">
        <is>
          <t>Отвержение неизвестных скиллов (v0.1.19)</t>
        </is>
      </c>
      <c r="D14" s="5" t="inlineStr">
        <is>
          <t>Попросить агента вызвать выдуманный скилл, например: "используй скилл super-calc".</t>
        </is>
      </c>
      <c r="E14" s="5" t="inlineStr">
        <is>
          <t>Явный отказ или сообщение об ошибке, а не тишина и не выдуманный результат.</t>
        </is>
      </c>
      <c r="F14" s="8" t="inlineStr">
        <is>
          <t>Не начато</t>
        </is>
      </c>
      <c r="G14" s="5"/>
      <c r="H14" s="8"/>
      <c r="I14" s="8"/>
    </row>
    <row r="15" ht="64.0" customHeight="1">
      <c r="A15" s="7" t="inlineStr">
        <is>
          <t>10</t>
        </is>
      </c>
      <c r="B15" s="6"/>
      <c r="C15" s="9" t="inlineStr">
        <is>
          <t>Динамические скиллы add-skill / remove-skill (v0.1.19)</t>
        </is>
      </c>
      <c r="D15" s="4" t="inlineStr">
        <is>
          <t>1. Попросить агента добавить простой скилл.
2. Убедиться, что он появился в списке и работает.
3. Попросить его убрать.</t>
        </is>
      </c>
      <c r="E15" s="4" t="inlineStr">
        <is>
          <t>Скилл появляется и исчезает из списка сразу, без перезапуска агента.</t>
        </is>
      </c>
      <c r="F15" s="7" t="inlineStr">
        <is>
          <t>Не начато</t>
        </is>
      </c>
      <c r="G15" s="4"/>
      <c r="H15" s="7"/>
      <c r="I15" s="7"/>
    </row>
    <row r="16" ht="49.5" customHeight="1">
      <c r="A16" s="8" t="inlineStr">
        <is>
          <t>11</t>
        </is>
      </c>
      <c r="B16" s="6"/>
      <c r="C16" s="10" t="inlineStr">
        <is>
          <t>Agentverse-скилл удалён (v0.1.19)</t>
        </is>
      </c>
      <c r="D16" s="5" t="inlineStr">
        <is>
          <t>1. Спросить у агента, какие у него есть навыки.
2. Попросить выполнить agentverse-запрос.</t>
        </is>
      </c>
      <c r="E16" s="5" t="inlineStr">
        <is>
          <t>Скилла нет в списке возможностей; агент не пытается его вызывать.</t>
        </is>
      </c>
      <c r="F16" s="8" t="inlineStr">
        <is>
          <t>Не начато</t>
        </is>
      </c>
      <c r="G16" s="5"/>
      <c r="H16" s="8"/>
      <c r="I16" s="8"/>
    </row>
    <row r="17" ht="78.5" customHeight="1">
      <c r="A17" s="7" t="inlineStr">
        <is>
          <t>12</t>
        </is>
      </c>
      <c r="B17" s="6"/>
      <c r="C17" s="9" t="inlineStr">
        <is>
          <t>Делегирование задач в OpenClaw (v0.1.19; если включён плагин)</t>
        </is>
      </c>
      <c r="D17" s="4" t="inlineStr">
        <is>
          <t>1. Попросить: "делегируй задачу: ответь ровно PONG".
2. Не дожидаясь результата, продолжить обычный диалог.
3. Отдельно делегировать пустую задачу.</t>
        </is>
      </c>
      <c r="E17" s="4" t="inlineStr">
        <is>
          <t>Мгновенный ответ "делегировал", агент остаётся отзывчивым; результат приходит позже (status=ok). Пустая задача — status=error, type=invalid_input.</t>
        </is>
      </c>
      <c r="F17" s="7" t="inlineStr">
        <is>
          <t>Не начато</t>
        </is>
      </c>
      <c r="G17" s="4"/>
      <c r="H17" s="7"/>
      <c r="I17" s="7"/>
    </row>
    <row r="18" ht="49.5" customHeight="1">
      <c r="A18" s="8" t="inlineStr">
        <is>
          <t>13</t>
        </is>
      </c>
      <c r="B18" s="6"/>
      <c r="C18" s="10" t="inlineStr">
        <is>
          <t>Работа плагинов (v0.1.19–v0.1.20)</t>
        </is>
      </c>
      <c r="D18" s="5" t="inlineStr">
        <is>
          <t>Если установлен плагин (например, workflow):
1. Вызвать его скилл в чате.
2. Вызвать скилл с ошибочными данными.</t>
        </is>
      </c>
      <c r="E18" s="5" t="inlineStr">
        <is>
          <t>Скилл доступен и работает; ошибка плагина не роняет агента, чат продолжает работать.</t>
        </is>
      </c>
      <c r="F18" s="8" t="inlineStr">
        <is>
          <t>Не начато</t>
        </is>
      </c>
      <c r="G18" s="5"/>
      <c r="H18" s="8"/>
      <c r="I18" s="8"/>
    </row>
    <row r="19" ht="49.5" customHeight="1">
      <c r="A19" s="7" t="inlineStr">
        <is>
          <t>14</t>
        </is>
      </c>
      <c r="B19" s="6" t="inlineStr">
        <is>
          <t>Поведение ответов LLM</t>
        </is>
      </c>
      <c r="C19" s="9" t="inlineStr">
        <is>
          <t>Пустые ответы из-за reasoning-бюджета (v0.1.20)</t>
        </is>
      </c>
      <c r="D19" s="4" t="inlineStr">
        <is>
          <t>Дать агенту очень сложную многошаговую задачу (на стенде с высоким уровнем reasoning).</t>
        </is>
      </c>
      <c r="E19" s="4" t="inlineStr">
        <is>
          <t>Вместо пустого ответа приходит понятное сообщение: "reasoning exceeded the token limit…" с советом разбить запрос на меньшие шаги.</t>
        </is>
      </c>
      <c r="F19" s="7" t="inlineStr">
        <is>
          <t>Не начато</t>
        </is>
      </c>
      <c r="G19" s="4"/>
      <c r="H19" s="7"/>
      <c r="I19" s="7"/>
    </row>
    <row r="20" ht="49.5" customHeight="1">
      <c r="A20" s="8" t="inlineStr">
        <is>
          <t>15</t>
        </is>
      </c>
      <c r="B20" s="6"/>
      <c r="C20" s="10" t="inlineStr">
        <is>
          <t>Убрана навязчивая инструкция ALERT_FAILED (v0.1.19)</t>
        </is>
      </c>
      <c r="D20" s="5" t="inlineStr">
        <is>
          <t>1. Спровоцировать неудачный вызов скилла (например, delete-file на несуществующем файле).
2. Продолжить диалог обычными сообщениями.</t>
        </is>
      </c>
      <c r="E20" s="5" t="inlineStr">
        <is>
          <t>Агент не циклится на "исправлении прошлой неудачи": диалог идёт дальше нормально.</t>
        </is>
      </c>
      <c r="F20" s="8" t="inlineStr">
        <is>
          <t>Не начато</t>
        </is>
      </c>
      <c r="G20" s="5"/>
      <c r="H20" s="8"/>
      <c r="I20" s="8"/>
    </row>
    <row r="21" ht="49.5" customHeight="1">
      <c r="A21" s="7" t="inlineStr">
        <is>
          <t>16</t>
        </is>
      </c>
      <c r="B21" s="6" t="inlineStr">
        <is>
          <t>Безопасность</t>
        </is>
      </c>
      <c r="C21" s="9" t="inlineStr">
        <is>
          <t>Секреты вычищены из окружения агента</t>
        </is>
      </c>
      <c r="D21" s="4" t="inlineStr">
        <is>
          <t>Попросить агента вывести своё окружение (скилл shell: "env").</t>
        </is>
      </c>
      <c r="E21" s="4" t="inlineStr">
        <is>
          <t>В выводе нет OMEGA_AUTH_SECRET, ключей провайдеров (ANTHROPIC_API_KEY, OPENAI_API_KEY, OPENROUTER_API_KEY и т.п.) и токенов каналов.</t>
        </is>
      </c>
      <c r="F21" s="7" t="inlineStr">
        <is>
          <t>Не начато</t>
        </is>
      </c>
      <c r="G21" s="4"/>
      <c r="H21" s="7"/>
      <c r="I21" s="7"/>
    </row>
  </sheetData>
  <mergeCells count="7">
    <mergeCell ref="A1:I1"/>
    <mergeCell ref="A2:I2"/>
    <mergeCell ref="A3:I3"/>
    <mergeCell ref="B7:B9"/>
    <mergeCell ref="B10:B12"/>
    <mergeCell ref="B13:B18"/>
    <mergeCell ref="B19:B20"/>
  </mergeCells>
  <conditionalFormatting sqref="F6:F21">
    <cfRule type="cellIs" dxfId="0" priority="1" operator="equal">
      <formula>"Пройдено"</formula>
    </cfRule>
    <cfRule type="cellIs" dxfId="1" priority="2" operator="equal">
      <formula>"Провалено"</formula>
    </cfRule>
    <cfRule type="cellIs" dxfId="2" priority="3" operator="equal">
      <formula>"В процессе"</formula>
    </cfRule>
    <cfRule type="cellIs" dxfId="3" priority="4" operator="equal">
      <formula>"Заблокировано"</formula>
    </cfRule>
    <cfRule type="cellIs" dxfId="4" priority="5" operator="equal">
      <formula>"N/A"</formula>
    </cfRule>
  </conditionalFormatting>
  <dataValidations count="1">
    <dataValidation type="list" allowBlank="1" showInputMessage="1" showErrorMessage="1" sqref="F6:F21">
      <formula1>"Не начато","В процессе","Пройдено","Провалено","Заблокировано","N/A"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12" customWidth="1"/>
    <col min="3" max="3" width="12" customWidth="1"/>
    <col min="4" max="4" width="14" customWidth="1"/>
  </cols>
  <sheetData>
    <row r="1" ht="26" customHeight="1">
      <c r="A1" s="1" t="inlineStr">
        <is>
          <t>Сводка по чек-листу</t>
        </is>
      </c>
    </row>
    <row r="2" ht="17" customHeight="1">
      <c r="A2" s="2" t="inlineStr">
        <is>
          <t>Заполняется автоматически по колонке Статус листа Чек-лист</t>
        </is>
      </c>
    </row>
    <row r="3" ht="7" customHeight="1"/>
    <row r="4" ht="26" customHeight="1">
      <c r="A4" s="3" t="inlineStr">
        <is>
          <t>Статус</t>
        </is>
      </c>
      <c r="B4" s="3" t="inlineStr">
        <is>
          <t>Кол-во</t>
        </is>
      </c>
      <c r="C4" s="3" t="inlineStr">
        <is>
          <t>Доля</t>
        </is>
      </c>
    </row>
    <row r="5" ht="20" customHeight="1">
      <c r="A5" s="9" t="inlineStr">
        <is>
          <t>Не начато</t>
        </is>
      </c>
      <c r="B5" s="7">
        <f>=COUNTIF('Чек-лист'!$F$6:$F$21,$A5)</f>
      </c>
      <c r="C5" s="11">
        <f>=IF($B$11=0,"",B5/$B$11)</f>
      </c>
    </row>
    <row r="6" ht="20" customHeight="1">
      <c r="A6" s="9" t="inlineStr">
        <is>
          <t>В процессе</t>
        </is>
      </c>
      <c r="B6" s="7">
        <f>=COUNTIF('Чек-лист'!$F$6:$F$21,$A6)</f>
      </c>
      <c r="C6" s="11">
        <f>=IF($B$11=0,"",B6/$B$11)</f>
      </c>
    </row>
    <row r="7" ht="20" customHeight="1">
      <c r="A7" s="9" t="inlineStr">
        <is>
          <t>Пройдено</t>
        </is>
      </c>
      <c r="B7" s="7">
        <f>=COUNTIF('Чек-лист'!$F$6:$F$21,$A7)</f>
      </c>
      <c r="C7" s="11">
        <f>=IF($B$11=0,"",B7/$B$11)</f>
      </c>
    </row>
    <row r="8" ht="20" customHeight="1">
      <c r="A8" s="9" t="inlineStr">
        <is>
          <t>Провалено</t>
        </is>
      </c>
      <c r="B8" s="7">
        <f>=COUNTIF('Чек-лист'!$F$6:$F$21,$A8)</f>
      </c>
      <c r="C8" s="11">
        <f>=IF($B$11=0,"",B8/$B$11)</f>
      </c>
    </row>
    <row r="9" ht="20" customHeight="1">
      <c r="A9" s="9" t="inlineStr">
        <is>
          <t>Заблокировано</t>
        </is>
      </c>
      <c r="B9" s="7">
        <f>=COUNTIF('Чек-лист'!$F$6:$F$21,$A9)</f>
      </c>
      <c r="C9" s="11">
        <f>=IF($B$11=0,"",B9/$B$11)</f>
      </c>
    </row>
    <row r="10" ht="20" customHeight="1">
      <c r="A10" s="9" t="inlineStr">
        <is>
          <t>N/A</t>
        </is>
      </c>
      <c r="B10" s="7">
        <f>=COUNTIF('Чек-лист'!$F$6:$F$21,$A10)</f>
      </c>
      <c r="C10" s="11">
        <f>=IF($B$11=0,"",B10/$B$11)</f>
      </c>
    </row>
    <row r="11" ht="22" customHeight="1">
      <c r="A11" s="9" t="inlineStr">
        <is>
          <t>Всего</t>
        </is>
      </c>
      <c r="B11" s="7">
        <f>=COUNTA('Чек-лист'!$F$6:$F$21)</f>
      </c>
      <c r="C11" s="11">
        <f>=IF($B$11=0,"",1)</f>
      </c>
    </row>
    <row r="12" ht="7" customHeight="1"/>
    <row r="13" ht="30" customHeight="1">
      <c r="A13" s="3" t="inlineStr">
        <is>
          <t>Раздел</t>
        </is>
      </c>
      <c r="B13" s="3" t="inlineStr">
        <is>
          <t>Проверок</t>
        </is>
      </c>
      <c r="C13" s="3" t="inlineStr">
        <is>
          <t>Пройдено</t>
        </is>
      </c>
      <c r="D13" s="3" t="inlineStr">
        <is>
          <t>Доля пройдено</t>
        </is>
      </c>
    </row>
    <row r="14" ht="30" customHeight="1">
      <c r="A14" s="9" t="inlineStr">
        <is>
          <t>Идентичность и версия</t>
        </is>
      </c>
      <c r="B14" s="7">
        <f>=COUNTA('Чек-лист'!$F$6:$F$6)</f>
      </c>
      <c r="C14" s="7">
        <f>=COUNTIF('Чек-лист'!$F$6:$F$6,"Пройдено")</f>
      </c>
      <c r="D14" s="11">
        <f>=IF(B14=0,"",C14/B14)</f>
      </c>
    </row>
    <row r="15" ht="30" customHeight="1">
      <c r="A15" s="9" t="inlineStr">
        <is>
          <t>Доставка сообщений и обрывы связи</t>
        </is>
      </c>
      <c r="B15" s="7">
        <f>=COUNTA('Чек-лист'!$F$7:$F$9)</f>
      </c>
      <c r="C15" s="7">
        <f>=COUNTIF('Чек-лист'!$F$7:$F$9,"Пройдено")</f>
      </c>
      <c r="D15" s="11">
        <f>=IF(B15=0,"",C15/B15)</f>
      </c>
    </row>
    <row r="16" ht="30" customHeight="1">
      <c r="A16" s="9" t="inlineStr">
        <is>
          <t>Память</t>
        </is>
      </c>
      <c r="B16" s="7">
        <f>=COUNTA('Чек-лист'!$F$10:$F$12)</f>
      </c>
      <c r="C16" s="7">
        <f>=COUNTIF('Чек-лист'!$F$10:$F$12,"Пройдено")</f>
      </c>
      <c r="D16" s="11">
        <f>=IF(B16=0,"",C16/B16)</f>
      </c>
    </row>
    <row r="17" ht="30" customHeight="1">
      <c r="A17" s="9" t="inlineStr">
        <is>
          <t>Скиллы и плагины</t>
        </is>
      </c>
      <c r="B17" s="7">
        <f>=COUNTA('Чек-лист'!$F$13:$F$18)</f>
      </c>
      <c r="C17" s="7">
        <f>=COUNTIF('Чек-лист'!$F$13:$F$18,"Пройдено")</f>
      </c>
      <c r="D17" s="11">
        <f>=IF(B17=0,"",C17/B17)</f>
      </c>
    </row>
    <row r="18" ht="30" customHeight="1">
      <c r="A18" s="9" t="inlineStr">
        <is>
          <t>Поведение ответов LLM</t>
        </is>
      </c>
      <c r="B18" s="7">
        <f>=COUNTA('Чек-лист'!$F$19:$F$20)</f>
      </c>
      <c r="C18" s="7">
        <f>=COUNTIF('Чек-лист'!$F$19:$F$20,"Пройдено")</f>
      </c>
      <c r="D18" s="11">
        <f>=IF(B18=0,"",C18/B18)</f>
      </c>
    </row>
    <row r="19" ht="30" customHeight="1">
      <c r="A19" s="9" t="inlineStr">
        <is>
          <t>Безопасность</t>
        </is>
      </c>
      <c r="B19" s="7">
        <f>=COUNTA('Чек-лист'!$F$21:$F$21)</f>
      </c>
      <c r="C19" s="7">
        <f>=COUNTIF('Чек-лист'!$F$21:$F$21,"Пройдено")</f>
      </c>
      <c r="D19" s="11">
        <f>=IF(B19=0,"",C19/B19)</f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95" customWidth="1"/>
  </cols>
  <sheetData>
    <row r="1" ht="26" customHeight="1">
      <c r="A1" s="1" t="inlineStr">
        <is>
          <t>Контекст, предусловия и ссылки</t>
        </is>
      </c>
    </row>
    <row r="2" ht="7" customHeight="1"/>
    <row r="3" ht="49.5" customHeight="1">
      <c r="A3" s="13" t="inlineStr">
        <is>
          <t>Продукт</t>
        </is>
      </c>
      <c r="B3" s="14" t="inlineStr">
        <is>
          <t>Omega (ранее OmegaClaw) — ИИ-агент SingularityNET / ASI Alliance. Чек-лист покрывает изменения между v0.1.18 и v0.1.20 (270 коммитов; релизы v0.1.19 и v0.1.20).</t>
        </is>
      </c>
    </row>
    <row r="4" ht="64.0" customHeight="1">
      <c r="A4" s="13" t="inlineStr">
        <is>
          <t>Как подключён веб-чат</t>
        </is>
      </c>
      <c r="B4" s="14" t="inlineStr">
        <is>
          <t>Omega работает как WebSocket-клиент: подключается к чат-серверу по WS_URL с Bearer-токеном из WS_TOKEN (канал включается флагом -t websocket). Входящие кадры — user_message, исходящие — agent_message; после каждого переподключения агент отправляет resume с номером последнего обработанного сообщения.</t>
        </is>
      </c>
    </row>
    <row r="5" ht="93.0" customHeight="1">
      <c r="A5" s="13" t="inlineStr">
        <is>
          <t>Предусловия</t>
        </is>
      </c>
      <c r="B5" s="14" t="inlineStr">
        <is>
          <t>1. Контейнер singularitynet/omega:v0.1.20 запущен с -t websocket и переменными WS_URL / WS_TOKEN.
2. Для сверки действий агента есть доступ к логам: docker logs omega.
3. Проверка №5: включена настройка memoryExportEnabled и задан WS_TOKEN.
4. Проверка №12: плагин OpenClaw включён флагом -g &lt;gateway-url&gt;.
5. Проверка №14: на стенде поднят reasoning-уровень (reasoningMode: high).</t>
        </is>
      </c>
    </row>
    <row r="6" ht="35.0" customHeight="1">
      <c r="A6" s="13" t="inlineStr">
        <is>
          <t>За рамками чек-листа</t>
        </is>
      </c>
      <c r="B6" s="14" t="inlineStr">
        <is>
          <t>Серверная часть веб-чата (приём кадров, Bearer-авторизация, реплей истории), CI/автотесты и деплой-операции здесь не проверяются.</t>
        </is>
      </c>
    </row>
    <row r="7" ht="24.0" customHeight="1">
      <c r="A7" s="13" t="inlineStr">
        <is>
          <t>Ссылки</t>
        </is>
      </c>
      <c r="B7" s="14" t="inlineStr">
        <is>
          <t>Актуальные материалы по продукту:</t>
        </is>
      </c>
    </row>
    <row r="8" ht="24.0" customHeight="1">
      <c r="A8" s="13" t="inlineStr">
        <is>
          <t>Сравнение версий v0.1.18...v0.1.20</t>
        </is>
      </c>
      <c r="B8" s="12" t="inlineStr">
        <is>
          <t>https://github.com/singnet/Omega/compare/v0.1.18...v0.1.20</t>
        </is>
      </c>
    </row>
    <row r="9" ht="24.0" customHeight="1">
      <c r="A9" s="13" t="inlineStr">
        <is>
          <t>Релиз v0.1.19</t>
        </is>
      </c>
      <c r="B9" s="12" t="inlineStr">
        <is>
          <t>https://github.com/singnet/Omega/releases/tag/v0.1.19</t>
        </is>
      </c>
    </row>
    <row r="10" ht="24.0" customHeight="1">
      <c r="A10" s="13" t="inlineStr">
        <is>
          <t>Релиз v0.1.20</t>
        </is>
      </c>
      <c r="B10" s="12" t="inlineStr">
        <is>
          <t>https://github.com/singnet/Omega/releases/tag/v0.1.20</t>
        </is>
      </c>
    </row>
    <row r="11" ht="24.0" customHeight="1">
      <c r="A11" s="13" t="inlineStr">
        <is>
          <t>Протокол WS-канала (docs)</t>
        </is>
      </c>
      <c r="B11" s="12" t="inlineStr">
        <is>
          <t>https://github.com/singnet/Omega/blob/v0.1.20/docs/reference-channels.md</t>
        </is>
      </c>
    </row>
    <row r="12" ht="35.0" customHeight="1">
      <c r="A12" s="13" t="inlineStr">
        <is>
          <t>Переносимость памяти (docs)</t>
        </is>
      </c>
      <c r="B12" s="12" t="inlineStr">
        <is>
          <t>https://github.com/singnet/Omega/blob/v0.1.20/docs/reference-memory-portability.md</t>
        </is>
      </c>
    </row>
    <row r="13" ht="24.0" customHeight="1">
      <c r="A13" s="13" t="inlineStr">
        <is>
          <t>Плагин OpenClaw (README)</t>
        </is>
      </c>
      <c r="B13" s="12" t="inlineStr">
        <is>
          <t>https://github.com/singnet/Omega/blob/v0.1.20/plugins/openclaw/README.md</t>
        </is>
      </c>
    </row>
  </sheetData>
  <mergeCells count="1">
    <mergeCell ref="A1:B1"/>
  </mergeCells>
  <hyperlinks>
    <hyperlink ref="B8" r:id="rId1"/>
    <hyperlink ref="B9" r:id="rId2"/>
    <hyperlink ref="B10" r:id="rId3"/>
    <hyperlink ref="B11" r:id="rId4"/>
    <hyperlink ref="B12" r:id="rId5"/>
    <hyperlink ref="B1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Omega QA checklist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Чек-лист интеграции Omega в веб-чат (v0.1.18 → v0.1.20)</dc:title>
  <dc:creator>QA</dc:creator>
  <dcterms:created xsi:type="dcterms:W3CDTF">2026-10-19T00:00:00Z</dcterms:created>
</cp:coreProperties>
</file>